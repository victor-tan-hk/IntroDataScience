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C676D195-5AF0-4A6A-849C-4D5BCF6E8C54}" xr6:coauthVersionLast="47" xr6:coauthVersionMax="47" xr10:uidLastSave="{00000000-0000-0000-0000-000000000000}"/>
  <bookViews>
    <workbookView xWindow="-30828" yWindow="4668" windowWidth="30936" windowHeight="16896" activeTab="2" xr2:uid="{00000000-000D-0000-FFFF-FFFF00000000}"/>
  </bookViews>
  <sheets>
    <sheet name="No Limits - Initial" sheetId="39" r:id="rId1"/>
    <sheet name="No Limits - Solution" sheetId="36" r:id="rId2"/>
    <sheet name="Minimal - Initial" sheetId="40" r:id="rId3"/>
    <sheet name="Minimal - Solution" sheetId="38" r:id="rId4"/>
  </sheets>
  <definedNames>
    <definedName name="solver_adj" localSheetId="3" hidden="1">'Minimal - Solution'!$J$9:$K$9</definedName>
    <definedName name="solver_adj" localSheetId="1" hidden="1">'No Limits - Solution'!$J$9:$K$9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eng" localSheetId="2" hidden="1">2</definedName>
    <definedName name="solver_eng" localSheetId="3" hidden="1">2</definedName>
    <definedName name="solver_eng" localSheetId="0" hidden="1">2</definedName>
    <definedName name="solver_eng" localSheetId="1" hidden="1">2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'Minimal - Initial'!$L$21:$L$22</definedName>
    <definedName name="solver_lhs1" localSheetId="3" hidden="1">'Minimal - Solution'!$L$16:$L$18</definedName>
    <definedName name="solver_lhs1" localSheetId="0" hidden="1">'No Limits - Initial'!$L$15:$L$17</definedName>
    <definedName name="solver_lhs1" localSheetId="1" hidden="1">'No Limits - Solution'!$L$15:$L$17</definedName>
    <definedName name="solver_lhs2" localSheetId="2" hidden="1">'Minimal - Initial'!$L$21:$L$22</definedName>
    <definedName name="solver_lhs2" localSheetId="3" hidden="1">'Minimal - Solution'!$L$21:$L$22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0</definedName>
    <definedName name="solver_num" localSheetId="3" hidden="1">2</definedName>
    <definedName name="solver_num" localSheetId="0" hidden="1">0</definedName>
    <definedName name="solver_num" localSheetId="1" hidden="1">1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3" hidden="1">'Minimal - Solution'!$L$8</definedName>
    <definedName name="solver_opt" localSheetId="1" hidden="1">'No Limits - Solution'!$L$8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3</definedName>
    <definedName name="solver_rel1" localSheetId="3" hidden="1">1</definedName>
    <definedName name="solver_rel1" localSheetId="0" hidden="1">1</definedName>
    <definedName name="solver_rel1" localSheetId="1" hidden="1">1</definedName>
    <definedName name="solver_rel2" localSheetId="2" hidden="1">3</definedName>
    <definedName name="solver_rel2" localSheetId="3" hidden="1">3</definedName>
    <definedName name="solver_rhs1" localSheetId="2" hidden="1">'Minimal - Initial'!$M$21:$M$22</definedName>
    <definedName name="solver_rhs1" localSheetId="3" hidden="1">'Minimal - Solution'!$M$16:$M$18</definedName>
    <definedName name="solver_rhs1" localSheetId="0" hidden="1">'No Limits - Initial'!$M$15:$M$17</definedName>
    <definedName name="solver_rhs1" localSheetId="1" hidden="1">'No Limits - Solution'!$M$15:$M$17</definedName>
    <definedName name="solver_rhs2" localSheetId="2" hidden="1">'Minimal - Initial'!$M$21:$M$22</definedName>
    <definedName name="solver_rhs2" localSheetId="3" hidden="1">'Minimal - Solution'!$M$21:$M$22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3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40" l="1"/>
  <c r="L21" i="40"/>
  <c r="L18" i="40"/>
  <c r="L17" i="40"/>
  <c r="L16" i="40"/>
  <c r="L8" i="40"/>
  <c r="K8" i="40"/>
  <c r="J8" i="40"/>
  <c r="L22" i="38"/>
  <c r="L21" i="38"/>
  <c r="L18" i="38"/>
  <c r="L17" i="36"/>
  <c r="L17" i="39"/>
  <c r="L8" i="39"/>
  <c r="L16" i="39"/>
  <c r="L15" i="39"/>
  <c r="K8" i="39"/>
  <c r="J8" i="39"/>
  <c r="L17" i="38" l="1"/>
  <c r="L16" i="38"/>
  <c r="L8" i="38"/>
  <c r="K8" i="38"/>
  <c r="J8" i="38"/>
  <c r="L8" i="36"/>
  <c r="L16" i="36" l="1"/>
  <c r="L15" i="36"/>
  <c r="J8" i="36"/>
  <c r="K8" i="36"/>
</calcChain>
</file>

<file path=xl/sharedStrings.xml><?xml version="1.0" encoding="utf-8"?>
<sst xmlns="http://schemas.openxmlformats.org/spreadsheetml/2006/main" count="68" uniqueCount="19">
  <si>
    <t>back</t>
  </si>
  <si>
    <t># of burgers</t>
  </si>
  <si>
    <t>Classical burgers</t>
  </si>
  <si>
    <t>Cheeseburgers</t>
  </si>
  <si>
    <t>Profit per 1 burger</t>
  </si>
  <si>
    <t>Total Profit (Goal Function)</t>
  </si>
  <si>
    <t>Constraints related to buns</t>
  </si>
  <si>
    <t>Constraints related to meat</t>
  </si>
  <si>
    <t>Usage per 1 burger</t>
  </si>
  <si>
    <t>For classical burgers</t>
  </si>
  <si>
    <t>For cheeseburgers</t>
  </si>
  <si>
    <t>Total Profit</t>
  </si>
  <si>
    <t>Constraints related to cheese</t>
  </si>
  <si>
    <t>Maximal # of resources (RHS)</t>
  </si>
  <si>
    <t># of resources used (LHS)</t>
  </si>
  <si>
    <t>Goal function and Constraints - no limits on demand</t>
  </si>
  <si>
    <t>Minimal amount for cheesburgers</t>
  </si>
  <si>
    <t>Goal function and Constraints - minimal quantity demanded</t>
  </si>
  <si>
    <t>Minimal amount for classical 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</si>
</sst>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rgb="FF0000FF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3" fontId="0" fillId="2" borderId="0" xfId="0" applyNumberFormat="1" applyFill="1" applyAlignment="1">
      <alignment wrapText="1"/>
    </xf>
    <xf numFmtId="3" fontId="1" fillId="2" borderId="0" xfId="0" applyNumberFormat="1" applyFont="1" applyFill="1"/>
    <xf numFmtId="3" fontId="0" fillId="2" borderId="0" xfId="0" applyNumberFormat="1" applyFill="1"/>
    <xf numFmtId="3" fontId="5" fillId="2" borderId="0" xfId="0" applyNumberFormat="1" applyFont="1" applyFill="1"/>
    <xf numFmtId="3" fontId="2" fillId="2" borderId="0" xfId="1" applyNumberFormat="1" applyFill="1" applyAlignment="1">
      <alignment wrapText="1"/>
    </xf>
    <xf numFmtId="3" fontId="2" fillId="2" borderId="0" xfId="1" applyNumberFormat="1" applyFill="1" applyBorder="1" applyAlignment="1">
      <alignment wrapText="1"/>
    </xf>
    <xf numFmtId="3" fontId="1" fillId="2" borderId="0" xfId="0" applyNumberFormat="1" applyFont="1" applyFill="1" applyAlignment="1">
      <alignment wrapText="1"/>
    </xf>
    <xf numFmtId="3" fontId="1" fillId="2" borderId="0" xfId="0" applyNumberFormat="1" applyFont="1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</cellXfs>
  <cellStyles count="4">
    <cellStyle name="Hyperlink" xfId="1" builtinId="8"/>
    <cellStyle name="Hyperlink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CBEE-DD33-42FE-B93D-2857F4E9628C}">
  <sheetPr>
    <tabColor theme="5"/>
  </sheetPr>
  <dimension ref="A1:V17"/>
  <sheetViews>
    <sheetView zoomScale="175" zoomScaleNormal="175" workbookViewId="0">
      <pane xSplit="9" ySplit="4" topLeftCell="J5" activePane="bottomRight" state="frozen"/>
      <selection activeCell="K13" sqref="K13"/>
      <selection pane="topRight" activeCell="K13" sqref="K13"/>
      <selection pane="bottomLeft" activeCell="K13" sqref="K13"/>
      <selection pane="bottomRight" activeCell="L17" sqref="L17"/>
    </sheetView>
  </sheetViews>
  <sheetFormatPr defaultColWidth="8.73046875" defaultRowHeight="14.25" x14ac:dyDescent="0.45"/>
  <cols>
    <col min="1" max="1" width="8.73046875" style="3"/>
    <col min="2" max="2" width="4.796875" style="3" customWidth="1"/>
    <col min="3" max="3" width="6.46484375" style="4" customWidth="1"/>
    <col min="4" max="4" width="3.46484375" style="3" customWidth="1"/>
    <col min="5" max="5" width="5.73046875" style="3" customWidth="1"/>
    <col min="6" max="6" width="8.73046875" style="3"/>
    <col min="7" max="7" width="5.06640625" style="3" customWidth="1"/>
    <col min="8" max="8" width="8.19921875" style="3" customWidth="1"/>
    <col min="9" max="9" width="6.19921875" style="3" customWidth="1"/>
    <col min="10" max="10" width="17.796875" style="3" customWidth="1"/>
    <col min="11" max="11" width="19.06640625" style="3" customWidth="1"/>
    <col min="12" max="12" width="18" style="3" customWidth="1"/>
    <col min="13" max="13" width="15.73046875" style="3" customWidth="1"/>
    <col min="14" max="16" width="11.73046875" style="3" customWidth="1"/>
    <col min="17" max="17" width="8.796875" style="1" customWidth="1"/>
    <col min="18" max="27" width="8.796875" style="3" customWidth="1"/>
    <col min="28" max="16384" width="8.73046875" style="3"/>
  </cols>
  <sheetData>
    <row r="1" spans="1:22" x14ac:dyDescent="0.45">
      <c r="A1" s="2" t="s">
        <v>15</v>
      </c>
      <c r="J1" s="5"/>
      <c r="Q1" s="6"/>
      <c r="V1" s="5" t="s">
        <v>0</v>
      </c>
    </row>
    <row r="4" spans="1:22" x14ac:dyDescent="0.45">
      <c r="J4" s="7"/>
      <c r="K4" s="7"/>
      <c r="L4" s="7"/>
      <c r="M4" s="7"/>
      <c r="N4" s="7"/>
      <c r="O4" s="7"/>
    </row>
    <row r="7" spans="1:22" x14ac:dyDescent="0.45">
      <c r="J7" s="2" t="s">
        <v>2</v>
      </c>
      <c r="K7" s="2" t="s">
        <v>3</v>
      </c>
      <c r="L7" s="2" t="s">
        <v>11</v>
      </c>
    </row>
    <row r="8" spans="1:22" x14ac:dyDescent="0.45">
      <c r="F8" s="2" t="s">
        <v>5</v>
      </c>
      <c r="J8" s="8">
        <f>J9*J10</f>
        <v>4</v>
      </c>
      <c r="K8" s="8">
        <f>K9*K10</f>
        <v>6</v>
      </c>
      <c r="L8" s="8">
        <f>SUMPRODUCT(J9:K9,J10:K10)</f>
        <v>10</v>
      </c>
    </row>
    <row r="9" spans="1:22" x14ac:dyDescent="0.45">
      <c r="G9" s="3" t="s">
        <v>1</v>
      </c>
      <c r="J9" s="9">
        <v>2</v>
      </c>
      <c r="K9" s="9">
        <v>2</v>
      </c>
      <c r="L9" s="10"/>
    </row>
    <row r="10" spans="1:22" x14ac:dyDescent="0.45">
      <c r="G10" s="3" t="s">
        <v>4</v>
      </c>
      <c r="J10" s="11">
        <v>2</v>
      </c>
      <c r="K10" s="11">
        <v>3</v>
      </c>
      <c r="L10" s="10"/>
    </row>
    <row r="13" spans="1:22" x14ac:dyDescent="0.45">
      <c r="J13" s="2" t="s">
        <v>8</v>
      </c>
      <c r="K13" s="2"/>
    </row>
    <row r="14" spans="1:22" ht="28.5" x14ac:dyDescent="0.45">
      <c r="J14" s="2" t="s">
        <v>9</v>
      </c>
      <c r="K14" s="2" t="s">
        <v>10</v>
      </c>
      <c r="L14" s="7" t="s">
        <v>14</v>
      </c>
      <c r="M14" s="7" t="s">
        <v>13</v>
      </c>
    </row>
    <row r="15" spans="1:22" x14ac:dyDescent="0.45">
      <c r="F15" s="2" t="s">
        <v>6</v>
      </c>
      <c r="J15" s="11">
        <v>1</v>
      </c>
      <c r="K15" s="11">
        <v>1</v>
      </c>
      <c r="L15" s="10">
        <f>SUMPRODUCT(J15:K15,$J$9:$K$9)</f>
        <v>4</v>
      </c>
      <c r="M15" s="12">
        <v>10</v>
      </c>
    </row>
    <row r="16" spans="1:22" x14ac:dyDescent="0.45">
      <c r="F16" s="2" t="s">
        <v>7</v>
      </c>
      <c r="J16" s="11">
        <v>2</v>
      </c>
      <c r="K16" s="11">
        <v>1</v>
      </c>
      <c r="L16" s="10">
        <f t="shared" ref="L16:L17" si="0">SUMPRODUCT(J16:K16,$J$9:$K$9)</f>
        <v>6</v>
      </c>
      <c r="M16" s="12">
        <v>20</v>
      </c>
    </row>
    <row r="17" spans="6:13" x14ac:dyDescent="0.45">
      <c r="F17" s="2" t="s">
        <v>12</v>
      </c>
      <c r="J17" s="11"/>
      <c r="K17" s="11">
        <v>1</v>
      </c>
      <c r="L17" s="10">
        <f>K9*K17</f>
        <v>2</v>
      </c>
      <c r="M17" s="12">
        <v>10</v>
      </c>
    </row>
  </sheetData>
  <hyperlinks>
    <hyperlink ref="V1" location="Master!A1" display="back" xr:uid="{264689D8-AE09-4F7C-B466-466F0BF07F2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V17"/>
  <sheetViews>
    <sheetView zoomScale="145" zoomScaleNormal="145" workbookViewId="0">
      <pane xSplit="9" ySplit="4" topLeftCell="J5" activePane="bottomRight" state="frozen"/>
      <selection activeCell="K13" sqref="K13"/>
      <selection pane="topRight" activeCell="K13" sqref="K13"/>
      <selection pane="bottomLeft" activeCell="K13" sqref="K13"/>
      <selection pane="bottomRight" activeCell="H15" sqref="H15"/>
    </sheetView>
  </sheetViews>
  <sheetFormatPr defaultColWidth="8.73046875" defaultRowHeight="14.25" x14ac:dyDescent="0.45"/>
  <cols>
    <col min="1" max="1" width="8.73046875" style="3"/>
    <col min="2" max="2" width="4.796875" style="3" customWidth="1"/>
    <col min="3" max="3" width="6.46484375" style="4" customWidth="1"/>
    <col min="4" max="4" width="3.46484375" style="3" customWidth="1"/>
    <col min="5" max="5" width="5.73046875" style="3" customWidth="1"/>
    <col min="6" max="6" width="8.73046875" style="3"/>
    <col min="7" max="7" width="5.06640625" style="3" customWidth="1"/>
    <col min="8" max="8" width="19.796875" style="3" customWidth="1"/>
    <col min="9" max="9" width="1.59765625" style="3" customWidth="1"/>
    <col min="10" max="10" width="18.9296875" style="3" customWidth="1"/>
    <col min="11" max="11" width="23.33203125" style="3" customWidth="1"/>
    <col min="12" max="12" width="17.06640625" style="3" customWidth="1"/>
    <col min="13" max="13" width="15.73046875" style="3" customWidth="1"/>
    <col min="14" max="16" width="11.73046875" style="3" customWidth="1"/>
    <col min="17" max="17" width="8.796875" style="1" customWidth="1"/>
    <col min="18" max="27" width="8.796875" style="3" customWidth="1"/>
    <col min="28" max="16384" width="8.73046875" style="3"/>
  </cols>
  <sheetData>
    <row r="1" spans="1:22" x14ac:dyDescent="0.45">
      <c r="A1" s="2" t="s">
        <v>15</v>
      </c>
      <c r="J1" s="5"/>
      <c r="Q1" s="6"/>
      <c r="V1" s="5" t="s">
        <v>0</v>
      </c>
    </row>
    <row r="4" spans="1:22" x14ac:dyDescent="0.45">
      <c r="J4" s="7"/>
      <c r="K4" s="7"/>
      <c r="L4" s="7"/>
      <c r="M4" s="7"/>
      <c r="N4" s="7"/>
      <c r="O4" s="7"/>
    </row>
    <row r="7" spans="1:22" x14ac:dyDescent="0.45">
      <c r="J7" s="2" t="s">
        <v>2</v>
      </c>
      <c r="K7" s="2" t="s">
        <v>3</v>
      </c>
      <c r="L7" s="2" t="s">
        <v>11</v>
      </c>
    </row>
    <row r="8" spans="1:22" x14ac:dyDescent="0.45">
      <c r="F8" s="2" t="s">
        <v>5</v>
      </c>
      <c r="J8" s="8">
        <f>J9*J10</f>
        <v>0</v>
      </c>
      <c r="K8" s="8">
        <f>K9*K10</f>
        <v>30</v>
      </c>
      <c r="L8" s="8">
        <f>SUMPRODUCT(J9:K9,J10:K10)</f>
        <v>30</v>
      </c>
    </row>
    <row r="9" spans="1:22" x14ac:dyDescent="0.45">
      <c r="G9" s="3" t="s">
        <v>1</v>
      </c>
      <c r="J9" s="9">
        <v>0</v>
      </c>
      <c r="K9" s="9">
        <v>10</v>
      </c>
      <c r="L9" s="10"/>
    </row>
    <row r="10" spans="1:22" x14ac:dyDescent="0.45">
      <c r="G10" s="3" t="s">
        <v>4</v>
      </c>
      <c r="J10" s="11">
        <v>2</v>
      </c>
      <c r="K10" s="11">
        <v>3</v>
      </c>
      <c r="L10" s="10"/>
    </row>
    <row r="13" spans="1:22" x14ac:dyDescent="0.45">
      <c r="J13" s="2" t="s">
        <v>8</v>
      </c>
      <c r="K13" s="2"/>
    </row>
    <row r="14" spans="1:22" ht="28.5" x14ac:dyDescent="0.45">
      <c r="J14" s="2" t="s">
        <v>9</v>
      </c>
      <c r="K14" s="2" t="s">
        <v>10</v>
      </c>
      <c r="L14" s="7" t="s">
        <v>14</v>
      </c>
      <c r="M14" s="7" t="s">
        <v>13</v>
      </c>
    </row>
    <row r="15" spans="1:22" x14ac:dyDescent="0.45">
      <c r="F15" s="2" t="s">
        <v>6</v>
      </c>
      <c r="J15" s="11">
        <v>1</v>
      </c>
      <c r="K15" s="11">
        <v>1</v>
      </c>
      <c r="L15" s="10">
        <f>SUMPRODUCT(J15:K15,$J$9:$K$9)</f>
        <v>10</v>
      </c>
      <c r="M15" s="12">
        <v>10</v>
      </c>
    </row>
    <row r="16" spans="1:22" x14ac:dyDescent="0.45">
      <c r="F16" s="2" t="s">
        <v>7</v>
      </c>
      <c r="J16" s="11">
        <v>2</v>
      </c>
      <c r="K16" s="11">
        <v>1</v>
      </c>
      <c r="L16" s="10">
        <f t="shared" ref="L16:L17" si="0">SUMPRODUCT(J16:K16,$J$9:$K$9)</f>
        <v>10</v>
      </c>
      <c r="M16" s="12">
        <v>20</v>
      </c>
    </row>
    <row r="17" spans="6:13" x14ac:dyDescent="0.45">
      <c r="F17" s="2" t="s">
        <v>12</v>
      </c>
      <c r="J17" s="11"/>
      <c r="K17" s="11">
        <v>1</v>
      </c>
      <c r="L17" s="10">
        <f>K9*K17</f>
        <v>10</v>
      </c>
      <c r="M17" s="12">
        <v>10</v>
      </c>
    </row>
  </sheetData>
  <hyperlinks>
    <hyperlink ref="V1" location="Master!A1" display="back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4BD9-08B1-48D9-8B76-FFE157D6AE61}">
  <sheetPr>
    <tabColor theme="5"/>
  </sheetPr>
  <dimension ref="A1:V22"/>
  <sheetViews>
    <sheetView tabSelected="1" zoomScale="130" zoomScaleNormal="130" workbookViewId="0">
      <pane xSplit="9" ySplit="4" topLeftCell="J5" activePane="bottomRight" state="frozen"/>
      <selection activeCell="K13" sqref="K13"/>
      <selection pane="topRight" activeCell="K13" sqref="K13"/>
      <selection pane="bottomLeft" activeCell="K13" sqref="K13"/>
      <selection pane="bottomRight" activeCell="K22" sqref="K22"/>
    </sheetView>
  </sheetViews>
  <sheetFormatPr defaultColWidth="8.73046875" defaultRowHeight="14.25" x14ac:dyDescent="0.45"/>
  <cols>
    <col min="1" max="1" width="8.73046875" style="3"/>
    <col min="2" max="2" width="4.796875" style="3" customWidth="1"/>
    <col min="3" max="3" width="6.46484375" style="4" customWidth="1"/>
    <col min="4" max="4" width="3.46484375" style="3" customWidth="1"/>
    <col min="5" max="5" width="5.73046875" style="3" customWidth="1"/>
    <col min="6" max="6" width="8.73046875" style="3"/>
    <col min="7" max="7" width="5.06640625" style="3" customWidth="1"/>
    <col min="8" max="8" width="7.9296875" style="3" customWidth="1"/>
    <col min="9" max="9" width="14.33203125" style="3" customWidth="1"/>
    <col min="10" max="10" width="19.9296875" style="3" customWidth="1"/>
    <col min="11" max="11" width="21.265625" style="3" customWidth="1"/>
    <col min="12" max="12" width="18" style="3" customWidth="1"/>
    <col min="13" max="13" width="15.73046875" style="3" customWidth="1"/>
    <col min="14" max="16" width="11.73046875" style="3" customWidth="1"/>
    <col min="17" max="17" width="8.796875" style="1" customWidth="1"/>
    <col min="18" max="27" width="8.796875" style="3" customWidth="1"/>
    <col min="28" max="16384" width="8.73046875" style="3"/>
  </cols>
  <sheetData>
    <row r="1" spans="1:22" x14ac:dyDescent="0.45">
      <c r="A1" s="2" t="s">
        <v>17</v>
      </c>
      <c r="J1" s="5"/>
      <c r="Q1" s="6"/>
      <c r="V1" s="5" t="s">
        <v>0</v>
      </c>
    </row>
    <row r="4" spans="1:22" x14ac:dyDescent="0.45">
      <c r="J4" s="7"/>
      <c r="K4" s="7"/>
      <c r="L4" s="7"/>
      <c r="M4" s="7"/>
      <c r="N4" s="7"/>
      <c r="O4" s="7"/>
    </row>
    <row r="7" spans="1:22" x14ac:dyDescent="0.45">
      <c r="J7" s="2" t="s">
        <v>2</v>
      </c>
      <c r="K7" s="2" t="s">
        <v>3</v>
      </c>
      <c r="L7" s="2" t="s">
        <v>11</v>
      </c>
    </row>
    <row r="8" spans="1:22" x14ac:dyDescent="0.45">
      <c r="F8" s="2" t="s">
        <v>5</v>
      </c>
      <c r="J8" s="8">
        <f>J9*J10</f>
        <v>4</v>
      </c>
      <c r="K8" s="8">
        <f>K9*K10</f>
        <v>6</v>
      </c>
      <c r="L8" s="8">
        <f>SUMPRODUCT(J9:K9,J10:K10)</f>
        <v>10</v>
      </c>
    </row>
    <row r="9" spans="1:22" x14ac:dyDescent="0.45">
      <c r="G9" s="3" t="s">
        <v>1</v>
      </c>
      <c r="J9" s="9">
        <v>2</v>
      </c>
      <c r="K9" s="9">
        <v>2</v>
      </c>
      <c r="L9" s="10"/>
    </row>
    <row r="10" spans="1:22" x14ac:dyDescent="0.45">
      <c r="G10" s="3" t="s">
        <v>4</v>
      </c>
      <c r="J10" s="11">
        <v>2</v>
      </c>
      <c r="K10" s="11">
        <v>3</v>
      </c>
      <c r="L10" s="10"/>
    </row>
    <row r="14" spans="1:22" x14ac:dyDescent="0.45">
      <c r="J14" s="2" t="s">
        <v>8</v>
      </c>
      <c r="K14" s="2"/>
    </row>
    <row r="15" spans="1:22" ht="28.5" x14ac:dyDescent="0.45">
      <c r="J15" s="2" t="s">
        <v>9</v>
      </c>
      <c r="K15" s="2" t="s">
        <v>10</v>
      </c>
      <c r="L15" s="7" t="s">
        <v>14</v>
      </c>
      <c r="M15" s="7" t="s">
        <v>13</v>
      </c>
    </row>
    <row r="16" spans="1:22" x14ac:dyDescent="0.45">
      <c r="F16" s="2" t="s">
        <v>6</v>
      </c>
      <c r="J16" s="11">
        <v>1</v>
      </c>
      <c r="K16" s="11">
        <v>1</v>
      </c>
      <c r="L16" s="10">
        <f>SUMPRODUCT(J16:K16,$J$9:$K$9)</f>
        <v>4</v>
      </c>
      <c r="M16" s="12">
        <v>10</v>
      </c>
    </row>
    <row r="17" spans="6:13" x14ac:dyDescent="0.45">
      <c r="F17" s="2" t="s">
        <v>7</v>
      </c>
      <c r="J17" s="11">
        <v>2</v>
      </c>
      <c r="K17" s="11">
        <v>1</v>
      </c>
      <c r="L17" s="10">
        <f t="shared" ref="L17:L18" si="0">SUMPRODUCT(J17:K17,$J$9:$K$9)</f>
        <v>6</v>
      </c>
      <c r="M17" s="12">
        <v>20</v>
      </c>
    </row>
    <row r="18" spans="6:13" x14ac:dyDescent="0.45">
      <c r="F18" s="2" t="s">
        <v>12</v>
      </c>
      <c r="J18" s="11"/>
      <c r="K18" s="11">
        <v>1</v>
      </c>
      <c r="L18" s="10">
        <f>K9*K18</f>
        <v>2</v>
      </c>
      <c r="M18" s="12">
        <v>10</v>
      </c>
    </row>
    <row r="19" spans="6:13" x14ac:dyDescent="0.45">
      <c r="J19" s="10"/>
      <c r="K19" s="10"/>
      <c r="L19" s="10"/>
      <c r="M19" s="10"/>
    </row>
    <row r="20" spans="6:13" x14ac:dyDescent="0.45">
      <c r="J20" s="10"/>
      <c r="K20" s="10"/>
      <c r="L20" s="10"/>
      <c r="M20" s="10"/>
    </row>
    <row r="21" spans="6:13" x14ac:dyDescent="0.45">
      <c r="F21" s="4" t="s">
        <v>16</v>
      </c>
      <c r="J21" s="10"/>
      <c r="K21" s="10"/>
      <c r="L21" s="10">
        <f>K9</f>
        <v>2</v>
      </c>
      <c r="M21" s="12">
        <v>2</v>
      </c>
    </row>
    <row r="22" spans="6:13" x14ac:dyDescent="0.45">
      <c r="F22" s="4" t="s">
        <v>18</v>
      </c>
      <c r="J22" s="10"/>
      <c r="K22" s="10"/>
      <c r="L22" s="10">
        <f>J9</f>
        <v>2</v>
      </c>
      <c r="M22" s="12">
        <v>2</v>
      </c>
    </row>
  </sheetData>
  <hyperlinks>
    <hyperlink ref="V1" location="Master!A1" display="back" xr:uid="{AECEEFE9-8B86-40E5-99AD-9A19A879E7F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V22"/>
  <sheetViews>
    <sheetView zoomScale="130" zoomScaleNormal="130" workbookViewId="0">
      <pane xSplit="9" ySplit="4" topLeftCell="J5" activePane="bottomRight" state="frozen"/>
      <selection activeCell="K13" sqref="K13"/>
      <selection pane="topRight" activeCell="K13" sqref="K13"/>
      <selection pane="bottomLeft" activeCell="K13" sqref="K13"/>
      <selection pane="bottomRight" activeCell="O20" sqref="O20"/>
    </sheetView>
  </sheetViews>
  <sheetFormatPr defaultColWidth="8.73046875" defaultRowHeight="14.25" x14ac:dyDescent="0.45"/>
  <cols>
    <col min="1" max="1" width="8.73046875" style="3"/>
    <col min="2" max="2" width="4.796875" style="3" customWidth="1"/>
    <col min="3" max="3" width="6.46484375" style="4" customWidth="1"/>
    <col min="4" max="4" width="3.46484375" style="3" customWidth="1"/>
    <col min="5" max="5" width="5.73046875" style="3" customWidth="1"/>
    <col min="6" max="6" width="8.73046875" style="3"/>
    <col min="7" max="7" width="5.06640625" style="3" customWidth="1"/>
    <col min="8" max="8" width="10.6640625" style="3" customWidth="1"/>
    <col min="9" max="9" width="10" style="3" customWidth="1"/>
    <col min="10" max="10" width="19.9296875" style="3" customWidth="1"/>
    <col min="11" max="11" width="21.265625" style="3" customWidth="1"/>
    <col min="12" max="12" width="18" style="3" customWidth="1"/>
    <col min="13" max="13" width="15.73046875" style="3" customWidth="1"/>
    <col min="14" max="16" width="11.73046875" style="3" customWidth="1"/>
    <col min="17" max="17" width="8.796875" style="1" customWidth="1"/>
    <col min="18" max="27" width="8.796875" style="3" customWidth="1"/>
    <col min="28" max="16384" width="8.73046875" style="3"/>
  </cols>
  <sheetData>
    <row r="1" spans="1:22" x14ac:dyDescent="0.45">
      <c r="A1" s="2" t="s">
        <v>17</v>
      </c>
      <c r="J1" s="5"/>
      <c r="Q1" s="6"/>
      <c r="V1" s="5" t="s">
        <v>0</v>
      </c>
    </row>
    <row r="4" spans="1:22" x14ac:dyDescent="0.45">
      <c r="J4" s="7"/>
      <c r="K4" s="7"/>
      <c r="L4" s="7"/>
      <c r="M4" s="7"/>
      <c r="N4" s="7"/>
      <c r="O4" s="7"/>
    </row>
    <row r="7" spans="1:22" x14ac:dyDescent="0.45">
      <c r="J7" s="2" t="s">
        <v>2</v>
      </c>
      <c r="K7" s="2" t="s">
        <v>3</v>
      </c>
      <c r="L7" s="2" t="s">
        <v>11</v>
      </c>
    </row>
    <row r="8" spans="1:22" x14ac:dyDescent="0.45">
      <c r="F8" s="2" t="s">
        <v>5</v>
      </c>
      <c r="J8" s="8">
        <f>J9*J10</f>
        <v>4</v>
      </c>
      <c r="K8" s="8">
        <f>K9*K10</f>
        <v>24</v>
      </c>
      <c r="L8" s="8">
        <f>SUMPRODUCT(J9:K9,J10:K10)</f>
        <v>28</v>
      </c>
    </row>
    <row r="9" spans="1:22" x14ac:dyDescent="0.45">
      <c r="G9" s="3" t="s">
        <v>1</v>
      </c>
      <c r="J9" s="9">
        <v>2</v>
      </c>
      <c r="K9" s="9">
        <v>8</v>
      </c>
      <c r="L9" s="10"/>
    </row>
    <row r="10" spans="1:22" x14ac:dyDescent="0.45">
      <c r="G10" s="3" t="s">
        <v>4</v>
      </c>
      <c r="J10" s="11">
        <v>2</v>
      </c>
      <c r="K10" s="11">
        <v>3</v>
      </c>
      <c r="L10" s="10"/>
    </row>
    <row r="14" spans="1:22" x14ac:dyDescent="0.45">
      <c r="J14" s="2" t="s">
        <v>8</v>
      </c>
      <c r="K14" s="2"/>
    </row>
    <row r="15" spans="1:22" ht="28.5" x14ac:dyDescent="0.45">
      <c r="J15" s="2" t="s">
        <v>9</v>
      </c>
      <c r="K15" s="2" t="s">
        <v>10</v>
      </c>
      <c r="L15" s="7" t="s">
        <v>14</v>
      </c>
      <c r="M15" s="7" t="s">
        <v>13</v>
      </c>
    </row>
    <row r="16" spans="1:22" x14ac:dyDescent="0.45">
      <c r="F16" s="2" t="s">
        <v>6</v>
      </c>
      <c r="J16" s="11">
        <v>1</v>
      </c>
      <c r="K16" s="11">
        <v>1</v>
      </c>
      <c r="L16" s="10">
        <f>SUMPRODUCT(J16:K16,$J$9:$K$9)</f>
        <v>10</v>
      </c>
      <c r="M16" s="12">
        <v>10</v>
      </c>
    </row>
    <row r="17" spans="6:13" x14ac:dyDescent="0.45">
      <c r="F17" s="2" t="s">
        <v>7</v>
      </c>
      <c r="J17" s="11">
        <v>2</v>
      </c>
      <c r="K17" s="11">
        <v>1</v>
      </c>
      <c r="L17" s="10">
        <f t="shared" ref="L17:L18" si="0">SUMPRODUCT(J17:K17,$J$9:$K$9)</f>
        <v>12</v>
      </c>
      <c r="M17" s="12">
        <v>20</v>
      </c>
    </row>
    <row r="18" spans="6:13" x14ac:dyDescent="0.45">
      <c r="F18" s="2" t="s">
        <v>12</v>
      </c>
      <c r="J18" s="11"/>
      <c r="K18" s="11">
        <v>1</v>
      </c>
      <c r="L18" s="10">
        <f>K9*K18</f>
        <v>8</v>
      </c>
      <c r="M18" s="12">
        <v>10</v>
      </c>
    </row>
    <row r="19" spans="6:13" x14ac:dyDescent="0.45">
      <c r="J19" s="10"/>
      <c r="K19" s="10"/>
      <c r="L19" s="10"/>
      <c r="M19" s="10"/>
    </row>
    <row r="20" spans="6:13" x14ac:dyDescent="0.45">
      <c r="J20" s="10"/>
      <c r="K20" s="10"/>
      <c r="L20" s="10"/>
      <c r="M20" s="10"/>
    </row>
    <row r="21" spans="6:13" x14ac:dyDescent="0.45">
      <c r="F21" s="4" t="s">
        <v>16</v>
      </c>
      <c r="J21" s="10"/>
      <c r="K21" s="10"/>
      <c r="L21" s="10">
        <f>K9</f>
        <v>8</v>
      </c>
      <c r="M21" s="12">
        <v>2</v>
      </c>
    </row>
    <row r="22" spans="6:13" x14ac:dyDescent="0.45">
      <c r="F22" s="4" t="s">
        <v>18</v>
      </c>
      <c r="J22" s="10"/>
      <c r="K22" s="10"/>
      <c r="L22" s="10">
        <f>J9</f>
        <v>2</v>
      </c>
      <c r="M22" s="12">
        <v>2</v>
      </c>
    </row>
  </sheetData>
  <hyperlinks>
    <hyperlink ref="V1" location="Master!A1" display="back" xr:uid="{00000000-0004-0000-02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 Limits - Initial</vt:lpstr>
      <vt:lpstr>No Limits - Solution</vt:lpstr>
      <vt:lpstr>Minimal - Initial</vt:lpstr>
      <vt:lpstr>Minimal -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2025-05-19T12:11:47Z</dcterms:modified>
</cp:coreProperties>
</file>